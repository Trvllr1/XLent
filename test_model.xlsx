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Calcul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Wafer Cost</v>
      </c>
      <c r="B2">
        <v>18500</v>
      </c>
      <c r="C2" t="str">
        <v>USD</v>
      </c>
    </row>
    <row r="3">
      <c r="A3" t="str">
        <v>Die Area</v>
      </c>
      <c r="B3">
        <v>100</v>
      </c>
      <c r="C3" t="str">
        <v>mm²</v>
      </c>
    </row>
    <row r="4">
      <c r="A4" t="str">
        <v>Wafer Diameter</v>
      </c>
      <c r="B4">
        <v>300</v>
      </c>
      <c r="C4" t="str">
        <v>mm</v>
      </c>
    </row>
    <row r="5">
      <c r="A5" t="str">
        <v>Defect Density</v>
      </c>
      <c r="B5">
        <v>0.3</v>
      </c>
      <c r="C5" t="str">
        <v>d/cm²</v>
      </c>
    </row>
    <row r="6">
      <c r="A6" t="str">
        <v>Packaging Cost</v>
      </c>
      <c r="B6">
        <v>45</v>
      </c>
      <c r="C6" t="str">
        <v>USD</v>
      </c>
    </row>
    <row r="7">
      <c r="A7" t="str">
        <v>Test Cost</v>
      </c>
      <c r="B7">
        <v>12</v>
      </c>
      <c r="C7" t="str">
        <v>USD</v>
      </c>
    </row>
    <row r="8">
      <c r="A8" t="str">
        <v>Volume</v>
      </c>
      <c r="B8">
        <v>100000</v>
      </c>
      <c r="C8" t="str">
        <v>units</v>
      </c>
    </row>
    <row r="9">
      <c r="A9" t="str">
        <v>ASP</v>
      </c>
      <c r="B9">
        <v>65</v>
      </c>
      <c r="C9" t="str">
        <v>USD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Metric</v>
      </c>
      <c r="B1" t="str">
        <v>Formula</v>
      </c>
      <c r="C1" t="str">
        <v>Value</v>
      </c>
    </row>
    <row r="2">
      <c r="A2" t="str">
        <v>Wafer Area</v>
      </c>
      <c r="B2">
        <f>PI()*(Inputs!B4/2)^2</f>
        <v>0</v>
      </c>
    </row>
    <row r="3">
      <c r="A3" t="str">
        <v>Gross DPW</v>
      </c>
      <c r="B3">
        <f>Calculations!B2/Inputs!B3</f>
        <v>0</v>
      </c>
    </row>
    <row r="4">
      <c r="A4" t="str">
        <v>Yield</v>
      </c>
      <c r="B4">
        <f>(1-Inputs!B5)^(Inputs!B3/100)</f>
        <v>0</v>
      </c>
    </row>
    <row r="5">
      <c r="A5" t="str">
        <v>Net DPW</v>
      </c>
      <c r="B5">
        <f>Calculations!B3*Calculations!B4</f>
        <v>0</v>
      </c>
    </row>
    <row r="6">
      <c r="A6" t="str">
        <v>Cost Per Die</v>
      </c>
      <c r="B6">
        <f>Inputs!B2/Calculations!B5</f>
        <v>0</v>
      </c>
    </row>
    <row r="7">
      <c r="A7" t="str">
        <v>Total Unit Cost</v>
      </c>
      <c r="B7">
        <f>Calculations!B6+Inputs!B6+Inputs!B7</f>
        <v>0</v>
      </c>
    </row>
    <row r="8">
      <c r="A8" t="str">
        <v>Revenue</v>
      </c>
      <c r="B8">
        <f>Inputs!B8*Inputs!B9</f>
        <v>0</v>
      </c>
    </row>
    <row r="9">
      <c r="A9" t="str">
        <v>COGS</v>
      </c>
      <c r="B9">
        <f>Inputs!B8*Calculations!B7</f>
        <v>0</v>
      </c>
    </row>
    <row r="10">
      <c r="A10" t="str">
        <v>Gross Margin</v>
      </c>
      <c r="B10">
        <f>(Calculations!B8-Calculations!B9)/Calculations!B8</f>
        <v>0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