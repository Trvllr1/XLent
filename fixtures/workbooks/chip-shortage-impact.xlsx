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" sheetId="1" r:id="rId1"/>
    <sheet name="Impac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Parameter</v>
      </c>
      <c r="B1" t="str">
        <v>Value</v>
      </c>
      <c r="C1" t="str">
        <v>Unit</v>
      </c>
    </row>
    <row r="2">
      <c r="A2" t="str">
        <v>Demand Units Q1</v>
      </c>
      <c r="B2">
        <v>4200000</v>
      </c>
      <c r="C2" t="str">
        <v/>
      </c>
    </row>
    <row r="3">
      <c r="A3" t="str">
        <v>Demand Units Q2</v>
      </c>
      <c r="B3">
        <v>4800000</v>
      </c>
      <c r="C3" t="str">
        <v/>
      </c>
    </row>
    <row r="4">
      <c r="A4" t="str">
        <v>Demand Units Q3</v>
      </c>
      <c r="B4">
        <v>5100000</v>
      </c>
      <c r="C4" t="str">
        <v/>
      </c>
    </row>
    <row r="5">
      <c r="A5" t="str">
        <v>Demand Units Q4</v>
      </c>
      <c r="B5">
        <v>5500000</v>
      </c>
      <c r="C5" t="str">
        <v/>
      </c>
    </row>
    <row r="6">
      <c r="A6" t="str">
        <v>Supply Capacity Q1</v>
      </c>
      <c r="B6">
        <v>3800000</v>
      </c>
      <c r="C6" t="str">
        <v/>
      </c>
    </row>
    <row r="7">
      <c r="A7" t="str">
        <v>Supply Capacity Q2</v>
      </c>
      <c r="B7">
        <v>4100000</v>
      </c>
      <c r="C7" t="str">
        <v/>
      </c>
    </row>
    <row r="8">
      <c r="A8" t="str">
        <v>Supply Capacity Q3</v>
      </c>
      <c r="B8">
        <v>4500000</v>
      </c>
      <c r="C8" t="str">
        <v/>
      </c>
    </row>
    <row r="9">
      <c r="A9" t="str">
        <v>Supply Capacity Q4</v>
      </c>
      <c r="B9">
        <v>4900000</v>
      </c>
      <c r="C9" t="str">
        <v/>
      </c>
    </row>
    <row r="10">
      <c r="A10" t="str">
        <v>Base ASP</v>
      </c>
      <c r="B10">
        <v>72</v>
      </c>
      <c r="C10" t="str">
        <v>USD</v>
      </c>
    </row>
    <row r="11">
      <c r="A11" t="str">
        <v>Shortage Premium Factor</v>
      </c>
      <c r="B11">
        <v>1.25</v>
      </c>
      <c r="C11" t="str">
        <v>x</v>
      </c>
    </row>
    <row r="12">
      <c r="A12" t="str">
        <v>Inventory Carry Cost</v>
      </c>
      <c r="B12">
        <v>0.02</v>
      </c>
      <c r="C12" t="str">
        <v>%/mo</v>
      </c>
    </row>
    <row r="13">
      <c r="A13" t="str">
        <v>Expedite Fee</v>
      </c>
      <c r="B13">
        <v>8.5</v>
      </c>
      <c r="C13" t="str">
        <v>USD/unit</v>
      </c>
    </row>
    <row r="14">
      <c r="A14" t="str">
        <v>Dual Source Premium</v>
      </c>
      <c r="B14">
        <v>0.12</v>
      </c>
      <c r="C14" t="str">
        <v>%</v>
      </c>
    </row>
    <row r="15">
      <c r="A15" t="str">
        <v>Safety Stock Weeks</v>
      </c>
      <c r="B15">
        <v>6</v>
      </c>
      <c r="C15" t="str">
        <v/>
      </c>
    </row>
    <row r="16">
      <c r="A16" t="str">
        <v>Lead Time Weeks</v>
      </c>
      <c r="B16">
        <v>14</v>
      </c>
      <c r="C16" t="str">
        <v/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Annual Demand</v>
      </c>
      <c r="B2">
        <f>Market!B2+Market!B3+Market!B4+Market!B5</f>
        <v>0</v>
      </c>
    </row>
    <row r="3">
      <c r="A3" t="str">
        <v>Annual Supply</v>
      </c>
      <c r="B3">
        <f>Market!B6+Market!B7+Market!B8+Market!B9</f>
        <v>0</v>
      </c>
    </row>
    <row r="4">
      <c r="A4" t="str">
        <v>Supply Gap</v>
      </c>
      <c r="B4">
        <f>Impact!B2-Impact!B3</f>
        <v>0</v>
      </c>
    </row>
    <row r="5">
      <c r="A5" t="str">
        <v>Gap Percent</v>
      </c>
      <c r="B5">
        <f>Impact!B4/Impact!B2</f>
        <v>0</v>
      </c>
    </row>
    <row r="6">
      <c r="A6" t="str">
        <v>Shortage ASP</v>
      </c>
      <c r="B6">
        <f>Market!B10*Market!B11</f>
        <v>0</v>
      </c>
    </row>
    <row r="7">
      <c r="A7" t="str">
        <v>Revenue at Base</v>
      </c>
      <c r="B7">
        <f>Impact!B3*Market!B10</f>
        <v>0</v>
      </c>
    </row>
    <row r="8">
      <c r="A8" t="str">
        <v>Revenue at Premium</v>
      </c>
      <c r="B8">
        <f>Impact!B3*Impact!B6</f>
        <v>0</v>
      </c>
    </row>
    <row r="9">
      <c r="A9" t="str">
        <v>Revenue Uplift</v>
      </c>
      <c r="B9">
        <f>Impact!B8-Impact!B7</f>
        <v>0</v>
      </c>
    </row>
    <row r="10">
      <c r="A10" t="str">
        <v>Lost Revenue</v>
      </c>
      <c r="B10">
        <f>Impact!B4*Market!B10</f>
        <v>0</v>
      </c>
    </row>
    <row r="11">
      <c r="A11" t="str">
        <v>Net Revenue Impact</v>
      </c>
      <c r="B11">
        <f>Impact!B9-Impact!B10</f>
        <v>0</v>
      </c>
    </row>
    <row r="12">
      <c r="A12" t="str">
        <v>Safety Stock Units</v>
      </c>
      <c r="B12">
        <f>(Impact!B2/52)*Market!B15</f>
        <v>0</v>
      </c>
    </row>
    <row r="13">
      <c r="A13" t="str">
        <v>Carry Cost Annual</v>
      </c>
      <c r="B13">
        <f>Impact!B12*Market!B10*Market!B12*12</f>
        <v>0</v>
      </c>
    </row>
    <row r="14">
      <c r="A14" t="str">
        <v>Expedite Budget</v>
      </c>
      <c r="B14">
        <f>Impact!B4*0.3*Market!B13</f>
        <v>0</v>
      </c>
    </row>
    <row r="15">
      <c r="A15" t="str">
        <v>Dual Source Cost</v>
      </c>
      <c r="B15">
        <f>Impact!B3*0.2*Market!B10*Market!B14</f>
        <v>0</v>
      </c>
    </row>
    <row r="16">
      <c r="A16" t="str">
        <v>Total Mitigation Cost</v>
      </c>
      <c r="B16">
        <f>Impact!B13+Impact!B14+Impact!B15</f>
        <v>0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</vt:lpstr>
      <vt:lpstr>Impact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