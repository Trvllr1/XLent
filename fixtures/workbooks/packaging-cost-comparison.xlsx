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cs" sheetId="1" r:id="rId1"/>
    <sheet name="Compar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Parameter</v>
      </c>
      <c r="B1" t="str">
        <v>Value</v>
      </c>
      <c r="C1" t="str">
        <v>Unit</v>
      </c>
    </row>
    <row r="2">
      <c r="A2" t="str">
        <v>Die Count</v>
      </c>
      <c r="B2">
        <v>4</v>
      </c>
      <c r="C2" t="str">
        <v/>
      </c>
    </row>
    <row r="3">
      <c r="A3" t="str">
        <v>Interposer Area</v>
      </c>
      <c r="B3">
        <v>1200</v>
      </c>
      <c r="C3" t="str">
        <v>mm²</v>
      </c>
    </row>
    <row r="4">
      <c r="A4" t="str">
        <v>Substrate Layers</v>
      </c>
      <c r="B4">
        <v>12</v>
      </c>
      <c r="C4" t="str">
        <v/>
      </c>
    </row>
    <row r="5">
      <c r="A5" t="str">
        <v>TSV Count</v>
      </c>
      <c r="B5">
        <v>45000</v>
      </c>
      <c r="C5" t="str">
        <v/>
      </c>
    </row>
    <row r="6">
      <c r="A6" t="str">
        <v>Bump Pitch</v>
      </c>
      <c r="B6">
        <v>45</v>
      </c>
      <c r="C6" t="str">
        <v>um</v>
      </c>
    </row>
    <row r="7">
      <c r="A7" t="str">
        <v>CoWoS Unit Cost</v>
      </c>
      <c r="B7">
        <v>2800</v>
      </c>
      <c r="C7" t="str">
        <v>USD</v>
      </c>
    </row>
    <row r="8">
      <c r="A8" t="str">
        <v>EMIB Unit Cost</v>
      </c>
      <c r="B8">
        <v>1950</v>
      </c>
      <c r="C8" t="str">
        <v>USD</v>
      </c>
    </row>
    <row r="9">
      <c r="A9" t="str">
        <v>Fan-Out Unit Cost</v>
      </c>
      <c r="B9">
        <v>680</v>
      </c>
      <c r="C9" t="str">
        <v>USD</v>
      </c>
    </row>
    <row r="10">
      <c r="A10" t="str">
        <v>Standard Flip Chip Cost</v>
      </c>
      <c r="B10">
        <v>85</v>
      </c>
      <c r="C10" t="str">
        <v>USD</v>
      </c>
    </row>
    <row r="11">
      <c r="A11" t="str">
        <v>CoWoS Yield</v>
      </c>
      <c r="B11">
        <v>0.72</v>
      </c>
      <c r="C11" t="str">
        <v/>
      </c>
    </row>
    <row r="12">
      <c r="A12" t="str">
        <v>EMIB Yield</v>
      </c>
      <c r="B12">
        <v>0.81</v>
      </c>
      <c r="C12" t="str">
        <v/>
      </c>
    </row>
    <row r="13">
      <c r="A13" t="str">
        <v>Fan-Out Yield</v>
      </c>
      <c r="B13">
        <v>0.88</v>
      </c>
      <c r="C13" t="str">
        <v/>
      </c>
    </row>
    <row r="14">
      <c r="A14" t="str">
        <v>Volume Annual</v>
      </c>
      <c r="B14">
        <v>180000</v>
      </c>
      <c r="C14" t="str">
        <v>units</v>
      </c>
    </row>
    <row r="15">
      <c r="A15" t="str">
        <v>Performance Factor CoWoS</v>
      </c>
      <c r="B15">
        <v>1.45</v>
      </c>
      <c r="C15" t="str">
        <v>x</v>
      </c>
    </row>
    <row r="16">
      <c r="A16" t="str">
        <v>Performance Factor EMIB</v>
      </c>
      <c r="B16">
        <v>1.32</v>
      </c>
      <c r="C16" t="str">
        <v>x</v>
      </c>
    </row>
    <row r="17">
      <c r="A17" t="str">
        <v>Performance Factor FO</v>
      </c>
      <c r="B17">
        <v>1.18</v>
      </c>
      <c r="C17" t="str">
        <v>x</v>
      </c>
    </row>
    <row r="18">
      <c r="A18" t="str">
        <v>ASP Premium High Perf</v>
      </c>
      <c r="B18">
        <v>1.6</v>
      </c>
      <c r="C18" t="str">
        <v>x</v>
      </c>
    </row>
    <row r="19">
      <c r="A19" t="str">
        <v>Base Package ASP</v>
      </c>
      <c r="B19">
        <v>420</v>
      </c>
      <c r="C19" t="str">
        <v>USD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Effective Cost CoWoS</v>
      </c>
      <c r="B2">
        <f>Specs!B7/Specs!B11</f>
        <v>0</v>
      </c>
    </row>
    <row r="3">
      <c r="A3" t="str">
        <v>Effective Cost EMIB</v>
      </c>
      <c r="B3">
        <f>Specs!B8/Specs!B12</f>
        <v>0</v>
      </c>
    </row>
    <row r="4">
      <c r="A4" t="str">
        <v>Effective Cost Fan-Out</v>
      </c>
      <c r="B4">
        <f>Specs!B9/Specs!B13</f>
        <v>0</v>
      </c>
    </row>
    <row r="5">
      <c r="A5" t="str">
        <v>Cost Premium CoWoS vs FC</v>
      </c>
      <c r="B5">
        <f>(Compare!B2-Specs!B10)/Specs!B10</f>
        <v>0</v>
      </c>
    </row>
    <row r="6">
      <c r="A6" t="str">
        <v>Cost Premium EMIB vs FC</v>
      </c>
      <c r="B6">
        <f>(Compare!B3-Specs!B10)/Specs!B10</f>
        <v>0</v>
      </c>
    </row>
    <row r="7">
      <c r="A7" t="str">
        <v>Revenue CoWoS</v>
      </c>
      <c r="B7">
        <f>Specs!B14*Specs!B19*Specs!B15*Specs!B18</f>
        <v>0</v>
      </c>
    </row>
    <row r="8">
      <c r="A8" t="str">
        <v>Revenue EMIB</v>
      </c>
      <c r="B8">
        <f>Specs!B14*Specs!B19*Specs!B16*Specs!B18</f>
        <v>0</v>
      </c>
    </row>
    <row r="9">
      <c r="A9" t="str">
        <v>Revenue Fan-Out</v>
      </c>
      <c r="B9">
        <f>Specs!B14*Specs!B19*Specs!B17*Specs!B18</f>
        <v>0</v>
      </c>
    </row>
    <row r="10">
      <c r="A10" t="str">
        <v>Margin CoWoS</v>
      </c>
      <c r="B10">
        <f>(Compare!B7-Specs!B14*Compare!B2)/Compare!B7</f>
        <v>0</v>
      </c>
    </row>
    <row r="11">
      <c r="A11" t="str">
        <v>Margin EMIB</v>
      </c>
      <c r="B11">
        <f>(Compare!B8-Specs!B14*Compare!B3)/Compare!B8</f>
        <v>0</v>
      </c>
    </row>
    <row r="12">
      <c r="A12" t="str">
        <v>Margin Fan-Out</v>
      </c>
      <c r="B12">
        <f>(Compare!B9-Specs!B14*Compare!B4)/Compare!B9</f>
        <v>0</v>
      </c>
    </row>
    <row r="13">
      <c r="A13" t="str">
        <v>Best ROI Package</v>
      </c>
      <c r="B13">
        <f>MAX(Compare!B10, Compare!B11, Compare!B12)</f>
        <v>0</v>
      </c>
    </row>
    <row r="14">
      <c r="A14" t="str">
        <v>Annual CoWoS Investment</v>
      </c>
      <c r="B14">
        <f>Specs!B14*Compare!B2</f>
        <v>0</v>
      </c>
    </row>
    <row r="15">
      <c r="A15" t="str">
        <v>Annual EMIB Investment</v>
      </c>
      <c r="B15">
        <f>Specs!B14*Compare!B3</f>
        <v>0</v>
      </c>
    </row>
    <row r="16">
      <c r="A16" t="str">
        <v>Perf per Dollar CoWoS</v>
      </c>
      <c r="B16">
        <f>Specs!B15/Compare!B2</f>
        <v>0</v>
      </c>
    </row>
    <row r="17">
      <c r="A17" t="str">
        <v>Perf per Dollar EMIB</v>
      </c>
      <c r="B17">
        <f>Specs!B16/Compare!B3</f>
        <v>0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Specs</vt:lpstr>
      <vt:lpstr>Compare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