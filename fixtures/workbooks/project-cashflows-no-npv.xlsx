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CashFlow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Discount Rate</v>
      </c>
      <c r="B2">
        <v>0.1</v>
      </c>
      <c r="C2" t="str">
        <v/>
      </c>
    </row>
    <row r="3">
      <c r="A3" t="str">
        <v>Initial Investment</v>
      </c>
      <c r="B3">
        <v>2500000</v>
      </c>
      <c r="C3" t="str">
        <v>USD</v>
      </c>
    </row>
    <row r="4">
      <c r="A4" t="str">
        <v>Project Duration</v>
      </c>
      <c r="B4">
        <v>5</v>
      </c>
      <c r="C4" t="str">
        <v>years</v>
      </c>
    </row>
    <row r="5">
      <c r="A5" t="str">
        <v>Revenue Growth Rate</v>
      </c>
      <c r="B5">
        <v>0.08</v>
      </c>
      <c r="C5" t="str">
        <v/>
      </c>
    </row>
    <row r="6">
      <c r="A6" t="str">
        <v>Operating Margin</v>
      </c>
      <c r="B6">
        <v>0.35</v>
      </c>
      <c r="C6" t="str">
        <v/>
      </c>
    </row>
    <row r="7">
      <c r="A7" t="str">
        <v>Terminal Multiple</v>
      </c>
      <c r="B7">
        <v>4.5</v>
      </c>
      <c r="C7" t="str">
        <v>x</v>
      </c>
    </row>
    <row r="8">
      <c r="A8" t="str">
        <v>Tax Rate</v>
      </c>
      <c r="B8">
        <v>0.21</v>
      </c>
      <c r="C8" t="str">
        <v/>
      </c>
    </row>
    <row r="9">
      <c r="A9" t="str">
        <v>CapEx Year 2</v>
      </c>
      <c r="B9">
        <v>400000</v>
      </c>
      <c r="C9" t="str">
        <v>USD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Year</v>
      </c>
      <c r="B1" t="str">
        <v>Revenue</v>
      </c>
      <c r="C1" t="str">
        <v>COGS</v>
      </c>
      <c r="D1" t="str">
        <v>EBITDA</v>
      </c>
      <c r="E1" t="str">
        <v>Tax</v>
      </c>
      <c r="F1" t="str">
        <v>Net CF</v>
      </c>
    </row>
    <row r="2">
      <c r="A2">
        <v>0</v>
      </c>
      <c r="B2">
        <v>0</v>
      </c>
      <c r="C2">
        <v>0</v>
      </c>
      <c r="D2">
        <f>-Assumptions!B3</f>
        <v>0</v>
      </c>
      <c r="E2">
        <v>0</v>
      </c>
      <c r="F2">
        <f>-Assumptions!B3</f>
        <v>0</v>
      </c>
    </row>
    <row r="3">
      <c r="A3">
        <v>1</v>
      </c>
      <c r="B3">
        <v>800000</v>
      </c>
      <c r="C3">
        <f>CashFlows!B3*(1-Assumptions!B6)</f>
        <v>0</v>
      </c>
      <c r="D3">
        <f>CashFlows!B3-CashFlows!C3</f>
        <v>0</v>
      </c>
      <c r="E3">
        <f>CashFlows!D3*Assumptions!B8</f>
        <v>0</v>
      </c>
      <c r="F3">
        <f>CashFlows!D3-CashFlows!E3</f>
        <v>0</v>
      </c>
    </row>
    <row r="4">
      <c r="A4">
        <v>2</v>
      </c>
      <c r="B4">
        <f>CashFlows!B3*(1+Assumptions!B5)</f>
        <v>0</v>
      </c>
      <c r="C4">
        <f>CashFlows!B4*(1-Assumptions!B6)</f>
        <v>0</v>
      </c>
      <c r="D4">
        <f>CashFlows!B4-CashFlows!C4-Assumptions!B9</f>
        <v>0</v>
      </c>
      <c r="E4">
        <f>MAX(CashFlows!D4,0)*Assumptions!B8</f>
        <v>0</v>
      </c>
      <c r="F4">
        <f>CashFlows!D4-CashFlows!E4</f>
        <v>0</v>
      </c>
    </row>
    <row r="5">
      <c r="A5">
        <v>3</v>
      </c>
      <c r="B5">
        <f>CashFlows!B4*(1+Assumptions!B5)</f>
        <v>0</v>
      </c>
      <c r="C5">
        <f>CashFlows!B5*(1-Assumptions!B6)</f>
        <v>0</v>
      </c>
      <c r="D5">
        <f>CashFlows!B5-CashFlows!C5</f>
        <v>0</v>
      </c>
      <c r="E5">
        <f>CashFlows!D5*Assumptions!B8</f>
        <v>0</v>
      </c>
      <c r="F5">
        <f>CashFlows!D5-CashFlows!E5</f>
        <v>0</v>
      </c>
    </row>
    <row r="6">
      <c r="A6">
        <v>4</v>
      </c>
      <c r="B6">
        <f>CashFlows!B5*(1+Assumptions!B5)</f>
        <v>0</v>
      </c>
      <c r="C6">
        <f>CashFlows!B6*(1-Assumptions!B6)</f>
        <v>0</v>
      </c>
      <c r="D6">
        <f>CashFlows!B6-CashFlows!C6</f>
        <v>0</v>
      </c>
      <c r="E6">
        <f>CashFlows!D6*Assumptions!B8</f>
        <v>0</v>
      </c>
      <c r="F6">
        <f>CashFlows!D6-CashFlows!E6</f>
        <v>0</v>
      </c>
    </row>
    <row r="7">
      <c r="A7">
        <v>5</v>
      </c>
      <c r="B7">
        <f>CashFlows!B6*(1+Assumptions!B5)</f>
        <v>0</v>
      </c>
      <c r="C7">
        <f>CashFlows!B7*(1-Assumptions!B6)</f>
        <v>0</v>
      </c>
      <c r="D7">
        <f>CashFlows!B7-CashFlows!C7</f>
        <v>0</v>
      </c>
      <c r="E7">
        <f>CashFlows!D7*Assumptions!B8</f>
        <v>0</v>
      </c>
      <c r="F7">
        <f>CashFlows!D7-CashFlows!E7+CashFlows!D7*Assumptions!B7</f>
        <v>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</v>
      </c>
      <c r="B2">
        <f>SUM(CashFlows!B2:CashFlows!B7)</f>
        <v>0</v>
      </c>
    </row>
    <row r="3">
      <c r="A3" t="str">
        <v>Total Net CF</v>
      </c>
      <c r="B3">
        <f>SUM(CashFlows!F2:CashFlows!F7)</f>
        <v>0</v>
      </c>
    </row>
    <row r="4">
      <c r="A4" t="str">
        <v>Peak Negative CF</v>
      </c>
      <c r="B4">
        <f>MIN(CashFlows!F2:CashFlows!F7)</f>
        <v>0</v>
      </c>
    </row>
    <row r="5">
      <c r="A5" t="str">
        <v>Final Year CF</v>
      </c>
      <c r="B5">
        <f>CashFlows!F7</f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CashFlows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