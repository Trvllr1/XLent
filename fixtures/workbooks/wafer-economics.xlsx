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umptions" sheetId="1" r:id="rId1"/>
    <sheet name="Econom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Parameter</v>
      </c>
      <c r="B1" t="str">
        <v>Value</v>
      </c>
      <c r="C1" t="str">
        <v>Unit</v>
      </c>
    </row>
    <row r="2">
      <c r="A2" t="str">
        <v>Wafer Cost</v>
      </c>
      <c r="B2">
        <v>18500</v>
      </c>
      <c r="C2" t="str">
        <v>USD</v>
      </c>
    </row>
    <row r="3">
      <c r="A3" t="str">
        <v>Die Area</v>
      </c>
      <c r="B3">
        <v>78</v>
      </c>
      <c r="C3" t="str">
        <v>mm²</v>
      </c>
    </row>
    <row r="4">
      <c r="A4" t="str">
        <v>Wafer Diameter</v>
      </c>
      <c r="B4">
        <v>300</v>
      </c>
      <c r="C4" t="str">
        <v>mm</v>
      </c>
    </row>
    <row r="5">
      <c r="A5" t="str">
        <v>Defect Density</v>
      </c>
      <c r="B5">
        <v>0.25</v>
      </c>
      <c r="C5" t="str">
        <v>d/cm²</v>
      </c>
    </row>
    <row r="6">
      <c r="A6" t="str">
        <v>Packaging Cost</v>
      </c>
      <c r="B6">
        <v>52</v>
      </c>
      <c r="C6" t="str">
        <v>USD</v>
      </c>
    </row>
    <row r="7">
      <c r="A7" t="str">
        <v>Test Cost</v>
      </c>
      <c r="B7">
        <v>14</v>
      </c>
      <c r="C7" t="str">
        <v>USD</v>
      </c>
    </row>
    <row r="8">
      <c r="A8" t="str">
        <v>Assembly Cost</v>
      </c>
      <c r="B8">
        <v>28</v>
      </c>
      <c r="C8" t="str">
        <v>USD</v>
      </c>
    </row>
    <row r="9">
      <c r="A9" t="str">
        <v>Volume</v>
      </c>
      <c r="B9">
        <v>250000</v>
      </c>
      <c r="C9" t="str">
        <v>units</v>
      </c>
    </row>
    <row r="10">
      <c r="A10" t="str">
        <v>ASP</v>
      </c>
      <c r="B10">
        <v>89</v>
      </c>
      <c r="C10" t="str">
        <v>USD</v>
      </c>
    </row>
    <row r="11">
      <c r="A11" t="str">
        <v>Scrap Rate</v>
      </c>
      <c r="B11">
        <v>0.03</v>
      </c>
      <c r="C11" t="str">
        <v>%</v>
      </c>
    </row>
    <row r="12">
      <c r="A12" t="str">
        <v>NRE Amortization</v>
      </c>
      <c r="B12">
        <v>4500000</v>
      </c>
      <c r="C12" t="str">
        <v>USD</v>
      </c>
    </row>
    <row r="13">
      <c r="A13" t="str">
        <v>Yield Learning Rate</v>
      </c>
      <c r="B13">
        <v>0.92</v>
      </c>
      <c r="C13" t="str">
        <v/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Wafer Area</v>
      </c>
      <c r="B2">
        <f>PI()*(Assumptions!B4/2)^2</f>
        <v>0</v>
      </c>
    </row>
    <row r="3">
      <c r="A3" t="str">
        <v>Gross DPW</v>
      </c>
      <c r="B3">
        <f>FLOOR(Economics!B2/Assumptions!B3, 1)</f>
        <v>0</v>
      </c>
    </row>
    <row r="4">
      <c r="A4" t="str">
        <v>Yield</v>
      </c>
      <c r="B4">
        <f>(1-Assumptions!B5)^(Assumptions!B3/100)*Assumptions!B13</f>
        <v>0</v>
      </c>
    </row>
    <row r="5">
      <c r="A5" t="str">
        <v>Net DPW</v>
      </c>
      <c r="B5">
        <f>Economics!B3*Economics!B4</f>
        <v>0</v>
      </c>
    </row>
    <row r="6">
      <c r="A6" t="str">
        <v>Die Cost</v>
      </c>
      <c r="B6">
        <f>Assumptions!B2/Economics!B5</f>
        <v>0</v>
      </c>
    </row>
    <row r="7">
      <c r="A7" t="str">
        <v>Total Unit Cost</v>
      </c>
      <c r="B7">
        <f>Economics!B6+Assumptions!B6+Assumptions!B7+Assumptions!B8</f>
        <v>0</v>
      </c>
    </row>
    <row r="8">
      <c r="A8" t="str">
        <v>Effective Unit Cost</v>
      </c>
      <c r="B8">
        <f>Economics!B7*(1+Assumptions!B11)</f>
        <v>0</v>
      </c>
    </row>
    <row r="9">
      <c r="A9" t="str">
        <v>NRE Per Unit</v>
      </c>
      <c r="B9">
        <f>Assumptions!B12/Assumptions!B9</f>
        <v>0</v>
      </c>
    </row>
    <row r="10">
      <c r="A10" t="str">
        <v>Fully Loaded Cost</v>
      </c>
      <c r="B10">
        <f>Economics!B8+Economics!B9</f>
        <v>0</v>
      </c>
    </row>
    <row r="11">
      <c r="A11" t="str">
        <v>Revenue</v>
      </c>
      <c r="B11">
        <f>Assumptions!B9*Assumptions!B10</f>
        <v>0</v>
      </c>
    </row>
    <row r="12">
      <c r="A12" t="str">
        <v>COGS</v>
      </c>
      <c r="B12">
        <f>Assumptions!B9*Economics!B10</f>
        <v>0</v>
      </c>
    </row>
    <row r="13">
      <c r="A13" t="str">
        <v>Gross Profit</v>
      </c>
      <c r="B13">
        <f>Economics!B11-Economics!B12</f>
        <v>0</v>
      </c>
    </row>
    <row r="14">
      <c r="A14" t="str">
        <v>Gross Margin</v>
      </c>
      <c r="B14">
        <f>Economics!B13/Economics!B11</f>
        <v>0</v>
      </c>
    </row>
    <row r="15">
      <c r="A15" t="str">
        <v>Contribution Margin</v>
      </c>
      <c r="B15">
        <f>(Assumptions!B10-Economics!B10)/Assumptions!B10</f>
        <v>0</v>
      </c>
    </row>
    <row r="16">
      <c r="A16" t="str">
        <v>Breakeven Volume</v>
      </c>
      <c r="B16">
        <f>Assumptions!B12/(Assumptions!B10-Economics!B10)</f>
        <v>0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Economics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