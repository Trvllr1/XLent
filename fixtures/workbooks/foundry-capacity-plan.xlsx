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Capaci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Parameter</v>
      </c>
      <c r="B1" t="str">
        <v>Value</v>
      </c>
      <c r="C1" t="str">
        <v>Unit</v>
      </c>
    </row>
    <row r="2">
      <c r="A2" t="str">
        <v>Total Wafer Starts</v>
      </c>
      <c r="B2">
        <v>85000</v>
      </c>
      <c r="C2" t="str">
        <v>wpm</v>
      </c>
    </row>
    <row r="3">
      <c r="A3" t="str">
        <v>N3 Allocation</v>
      </c>
      <c r="B3">
        <v>0.15</v>
      </c>
      <c r="C3" t="str">
        <v>%</v>
      </c>
    </row>
    <row r="4">
      <c r="A4" t="str">
        <v>N5 Allocation</v>
      </c>
      <c r="B4">
        <v>0.3</v>
      </c>
      <c r="C4" t="str">
        <v>%</v>
      </c>
    </row>
    <row r="5">
      <c r="A5" t="str">
        <v>N7 Allocation</v>
      </c>
      <c r="B5">
        <v>0.25</v>
      </c>
      <c r="C5" t="str">
        <v>%</v>
      </c>
    </row>
    <row r="6">
      <c r="A6" t="str">
        <v>Mature Node Allocation</v>
      </c>
      <c r="B6">
        <v>0.3</v>
      </c>
      <c r="C6" t="str">
        <v>%</v>
      </c>
    </row>
    <row r="7">
      <c r="A7" t="str">
        <v>Avg Cycle Time N3</v>
      </c>
      <c r="B7">
        <v>75</v>
      </c>
      <c r="C7" t="str">
        <v>days</v>
      </c>
    </row>
    <row r="8">
      <c r="A8" t="str">
        <v>Avg Cycle Time N5</v>
      </c>
      <c r="B8">
        <v>60</v>
      </c>
      <c r="C8" t="str">
        <v>days</v>
      </c>
    </row>
    <row r="9">
      <c r="A9" t="str">
        <v>Avg Cycle Time N7</v>
      </c>
      <c r="B9">
        <v>52</v>
      </c>
      <c r="C9" t="str">
        <v>days</v>
      </c>
    </row>
    <row r="10">
      <c r="A10" t="str">
        <v>Equipment Utilization</v>
      </c>
      <c r="B10">
        <v>0.92</v>
      </c>
      <c r="C10" t="str">
        <v>%</v>
      </c>
    </row>
    <row r="11">
      <c r="A11" t="str">
        <v>Planned Downtime</v>
      </c>
      <c r="B11">
        <v>0.05</v>
      </c>
      <c r="C11" t="str">
        <v>%</v>
      </c>
    </row>
    <row r="12">
      <c r="A12" t="str">
        <v>Unplanned Downtime</v>
      </c>
      <c r="B12">
        <v>0.03</v>
      </c>
      <c r="C12" t="str">
        <v>%</v>
      </c>
    </row>
    <row r="13">
      <c r="A13" t="str">
        <v>Yield N3</v>
      </c>
      <c r="B13">
        <v>0.68</v>
      </c>
      <c r="C13" t="str">
        <v/>
      </c>
    </row>
    <row r="14">
      <c r="A14" t="str">
        <v>Yield N5</v>
      </c>
      <c r="B14">
        <v>0.85</v>
      </c>
      <c r="C14" t="str">
        <v/>
      </c>
    </row>
    <row r="15">
      <c r="A15" t="str">
        <v>Yield N7</v>
      </c>
      <c r="B15">
        <v>0.91</v>
      </c>
      <c r="C15" t="str">
        <v/>
      </c>
    </row>
    <row r="16">
      <c r="A16" t="str">
        <v>Wafer Price N3</v>
      </c>
      <c r="B16">
        <v>20000</v>
      </c>
      <c r="C16" t="str">
        <v>USD</v>
      </c>
    </row>
    <row r="17">
      <c r="A17" t="str">
        <v>Wafer Price N5</v>
      </c>
      <c r="B17">
        <v>16000</v>
      </c>
      <c r="C17" t="str">
        <v>USD</v>
      </c>
    </row>
    <row r="18">
      <c r="A18" t="str">
        <v>Wafer Price N7</v>
      </c>
      <c r="B18">
        <v>12000</v>
      </c>
      <c r="C18" t="str">
        <v>USD</v>
      </c>
    </row>
    <row r="19">
      <c r="A19" t="str">
        <v>Expansion CapEx</v>
      </c>
      <c r="B19">
        <v>3200000000</v>
      </c>
      <c r="C19" t="str">
        <v>USD</v>
      </c>
    </row>
    <row r="20">
      <c r="A20" t="str">
        <v>Expansion Capacity</v>
      </c>
      <c r="B20">
        <v>20000</v>
      </c>
      <c r="C20" t="str">
        <v>wpm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Effective Utilization</v>
      </c>
      <c r="B2">
        <f>Inputs!B10*(1-Inputs!B11-Inputs!B12)</f>
        <v>0</v>
      </c>
    </row>
    <row r="3">
      <c r="A3" t="str">
        <v>Effective Wafer Starts</v>
      </c>
      <c r="B3">
        <f>Inputs!B2*Capacity!B2</f>
        <v>0</v>
      </c>
    </row>
    <row r="4">
      <c r="A4" t="str">
        <v>N3 Wafer Starts</v>
      </c>
      <c r="B4">
        <f>Capacity!B3*Inputs!B3</f>
        <v>0</v>
      </c>
    </row>
    <row r="5">
      <c r="A5" t="str">
        <v>N5 Wafer Starts</v>
      </c>
      <c r="B5">
        <f>Capacity!B3*Inputs!B4</f>
        <v>0</v>
      </c>
    </row>
    <row r="6">
      <c r="A6" t="str">
        <v>N7 Wafer Starts</v>
      </c>
      <c r="B6">
        <f>Capacity!B3*Inputs!B5</f>
        <v>0</v>
      </c>
    </row>
    <row r="7">
      <c r="A7" t="str">
        <v>Mature Wafer Starts</v>
      </c>
      <c r="B7">
        <f>Capacity!B3*Inputs!B6</f>
        <v>0</v>
      </c>
    </row>
    <row r="8">
      <c r="A8" t="str">
        <v>N3 Good Wafers Out</v>
      </c>
      <c r="B8">
        <f>Capacity!B4*Inputs!B13</f>
        <v>0</v>
      </c>
    </row>
    <row r="9">
      <c r="A9" t="str">
        <v>N5 Good Wafers Out</v>
      </c>
      <c r="B9">
        <f>Capacity!B5*Inputs!B14</f>
        <v>0</v>
      </c>
    </row>
    <row r="10">
      <c r="A10" t="str">
        <v>N7 Good Wafers Out</v>
      </c>
      <c r="B10">
        <f>Capacity!B6*Inputs!B15</f>
        <v>0</v>
      </c>
    </row>
    <row r="11">
      <c r="A11" t="str">
        <v>Monthly Revenue N3</v>
      </c>
      <c r="B11">
        <f>Capacity!B8*Inputs!B16</f>
        <v>0</v>
      </c>
    </row>
    <row r="12">
      <c r="A12" t="str">
        <v>Monthly Revenue N5</v>
      </c>
      <c r="B12">
        <f>Capacity!B9*Inputs!B17</f>
        <v>0</v>
      </c>
    </row>
    <row r="13">
      <c r="A13" t="str">
        <v>Monthly Revenue N7</v>
      </c>
      <c r="B13">
        <f>Capacity!B10*Inputs!B18</f>
        <v>0</v>
      </c>
    </row>
    <row r="14">
      <c r="A14" t="str">
        <v>Total Monthly Revenue</v>
      </c>
      <c r="B14">
        <f>Capacity!B11+Capacity!B12+Capacity!B13</f>
        <v>0</v>
      </c>
    </row>
    <row r="15">
      <c r="A15" t="str">
        <v>Annual Revenue</v>
      </c>
      <c r="B15">
        <f>Capacity!B14*12</f>
        <v>0</v>
      </c>
    </row>
    <row r="16">
      <c r="A16" t="str">
        <v>Revenue Per Wafer Start</v>
      </c>
      <c r="B16">
        <f>Capacity!B14/Capacity!B3</f>
        <v>0</v>
      </c>
    </row>
    <row r="17">
      <c r="A17" t="str">
        <v>Expansion ROI Period</v>
      </c>
      <c r="B17">
        <f>Inputs!B19/(Inputs!B20*Capacity!B16*12)</f>
        <v>0</v>
      </c>
    </row>
    <row r="18">
      <c r="A18" t="str">
        <v>Blended Yield</v>
      </c>
      <c r="B18">
        <f>(Capacity!B8+Capacity!B9+Capacity!B10)/(Capacity!B4+Capacity!B5+Capacity!B6)</f>
        <v>0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