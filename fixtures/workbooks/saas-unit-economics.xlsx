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rics" sheetId="1" r:id="rId1"/>
    <sheet name="Uni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Data>
    <row r="1">
      <c r="A1" t="str">
        <v>Metric</v>
      </c>
      <c r="B1" t="str">
        <v>Value</v>
      </c>
      <c r="C1" t="str">
        <v>Unit</v>
      </c>
    </row>
    <row r="2">
      <c r="A2" t="str">
        <v>Monthly Subscribers</v>
      </c>
      <c r="B2">
        <v>12400</v>
      </c>
      <c r="C2" t="str">
        <v/>
      </c>
    </row>
    <row r="3">
      <c r="A3" t="str">
        <v>MRR</v>
      </c>
      <c r="B3">
        <v>496000</v>
      </c>
      <c r="C3" t="str">
        <v>USD</v>
      </c>
    </row>
    <row r="4">
      <c r="A4" t="str">
        <v>ARPU</v>
      </c>
      <c r="B4">
        <v>40</v>
      </c>
      <c r="C4" t="str">
        <v>USD</v>
      </c>
    </row>
    <row r="5">
      <c r="A5" t="str">
        <v>Gross Churn Rate</v>
      </c>
      <c r="B5">
        <v>0.045</v>
      </c>
      <c r="C5" t="str">
        <v>%/mo</v>
      </c>
    </row>
    <row r="6">
      <c r="A6" t="str">
        <v>Expansion Revenue Rate</v>
      </c>
      <c r="B6">
        <v>0.025</v>
      </c>
      <c r="C6" t="str">
        <v>%/mo</v>
      </c>
    </row>
    <row r="7">
      <c r="A7" t="str">
        <v>CAC</v>
      </c>
      <c r="B7">
        <v>380</v>
      </c>
      <c r="C7" t="str">
        <v>USD</v>
      </c>
    </row>
    <row r="8">
      <c r="A8" t="str">
        <v>Payback Sales Cycle</v>
      </c>
      <c r="B8">
        <v>45</v>
      </c>
      <c r="C8" t="str">
        <v>days</v>
      </c>
    </row>
    <row r="9">
      <c r="A9" t="str">
        <v>Gross Margin</v>
      </c>
      <c r="B9">
        <v>0.78</v>
      </c>
      <c r="C9" t="str">
        <v/>
      </c>
    </row>
    <row r="10">
      <c r="A10" t="str">
        <v>S&amp;M Spend Monthly</v>
      </c>
      <c r="B10">
        <v>280000</v>
      </c>
      <c r="C10" t="str">
        <v>USD</v>
      </c>
    </row>
    <row r="11">
      <c r="A11" t="str">
        <v>R&amp;D Spend Monthly</v>
      </c>
      <c r="B11">
        <v>180000</v>
      </c>
      <c r="C11" t="str">
        <v>USD</v>
      </c>
    </row>
    <row r="12">
      <c r="A12" t="str">
        <v>G&amp;A Spend Monthly</v>
      </c>
      <c r="B12">
        <v>95000</v>
      </c>
      <c r="C12" t="str">
        <v>USD</v>
      </c>
    </row>
    <row r="13">
      <c r="A13" t="str">
        <v>Avg Contract Length</v>
      </c>
      <c r="B13">
        <v>14</v>
      </c>
      <c r="C13" t="str">
        <v>months</v>
      </c>
    </row>
    <row r="14">
      <c r="A14" t="str">
        <v>Support Cost Per User</v>
      </c>
      <c r="B14">
        <v>4.5</v>
      </c>
      <c r="C14" t="str">
        <v>USD</v>
      </c>
    </row>
    <row r="15">
      <c r="A15" t="str">
        <v>Infrastructure Per User</v>
      </c>
      <c r="B15">
        <v>3.2</v>
      </c>
      <c r="C15" t="str">
        <v>USD</v>
      </c>
    </row>
  </sheetData>
  <ignoredErrors>
    <ignoredError numberStoredAsText="1" sqref="A1:C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Data>
    <row r="1">
      <c r="A1" t="str">
        <v>KPI</v>
      </c>
      <c r="B1" t="str">
        <v>Value</v>
      </c>
    </row>
    <row r="2">
      <c r="A2" t="str">
        <v>Net Revenue Retention</v>
      </c>
      <c r="B2">
        <f>1-Metrics!B5+Metrics!B6</f>
        <v>0</v>
      </c>
    </row>
    <row r="3">
      <c r="A3" t="str">
        <v>LTV Gross</v>
      </c>
      <c r="B3">
        <f>Metrics!B4/(Metrics!B5-Metrics!B6)</f>
        <v>0</v>
      </c>
    </row>
    <row r="4">
      <c r="A4" t="str">
        <v>LTV Net</v>
      </c>
      <c r="B4">
        <f>Unit!B3*Metrics!B9</f>
        <v>0</v>
      </c>
    </row>
    <row r="5">
      <c r="A5" t="str">
        <v>LTV:CAC Ratio</v>
      </c>
      <c r="B5">
        <f>Unit!B4/Metrics!B7</f>
        <v>0</v>
      </c>
    </row>
    <row r="6">
      <c r="A6" t="str">
        <v>CAC Payback Months</v>
      </c>
      <c r="B6">
        <f>Metrics!B7/(Metrics!B4*Metrics!B9)</f>
        <v>0</v>
      </c>
    </row>
    <row r="7">
      <c r="A7" t="str">
        <v>Net Churn</v>
      </c>
      <c r="B7">
        <f>Metrics!B5-Metrics!B6</f>
        <v>0</v>
      </c>
    </row>
    <row r="8">
      <c r="A8" t="str">
        <v>ARR</v>
      </c>
      <c r="B8">
        <f>Metrics!B3*12</f>
        <v>0</v>
      </c>
    </row>
    <row r="9">
      <c r="A9" t="str">
        <v>Variable Cost Per User</v>
      </c>
      <c r="B9">
        <f>Metrics!B14+Metrics!B15</f>
        <v>0</v>
      </c>
    </row>
    <row r="10">
      <c r="A10" t="str">
        <v>Contribution Margin Per User</v>
      </c>
      <c r="B10">
        <f>Metrics!B4-Unit!B9</f>
        <v>0</v>
      </c>
    </row>
    <row r="11">
      <c r="A11" t="str">
        <v>Monthly Burn</v>
      </c>
      <c r="B11">
        <f>Metrics!B10+Metrics!B11+Metrics!B12+(Metrics!B2*Unit!B9)</f>
        <v>0</v>
      </c>
    </row>
    <row r="12">
      <c r="A12" t="str">
        <v>Monthly Gross Profit</v>
      </c>
      <c r="B12">
        <f>Metrics!B3*Metrics!B9</f>
        <v>0</v>
      </c>
    </row>
    <row r="13">
      <c r="A13" t="str">
        <v>Operating Margin</v>
      </c>
      <c r="B13">
        <f>(Unit!B12-Unit!B11)/Metrics!B3</f>
        <v>0</v>
      </c>
    </row>
    <row r="14">
      <c r="A14" t="str">
        <v>Rule of 40</v>
      </c>
      <c r="B14">
        <f>Unit!B13+(Metrics!B6-Metrics!B5)*12</f>
        <v>0</v>
      </c>
    </row>
    <row r="15">
      <c r="A15" t="str">
        <v>Magic Number</v>
      </c>
      <c r="B15">
        <f>(Metrics!B3-Metrics!B3/(1+Metrics!B6-Metrics!B5))*12/Metrics!B10</f>
        <v>0</v>
      </c>
    </row>
  </sheetData>
  <ignoredErrors>
    <ignoredError numberStoredAsText="1" sqref="A1:B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Metrics</vt:lpstr>
      <vt:lpstr>Unit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