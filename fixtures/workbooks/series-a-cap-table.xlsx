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rms" sheetId="1" r:id="rId1"/>
    <sheet name="Ca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Item</v>
      </c>
      <c r="B1" t="str">
        <v>Value</v>
      </c>
      <c r="C1" t="str">
        <v>Unit</v>
      </c>
    </row>
    <row r="2">
      <c r="A2" t="str">
        <v>Pre-Money Valuation</v>
      </c>
      <c r="B2">
        <v>25000000</v>
      </c>
      <c r="C2" t="str">
        <v>USD</v>
      </c>
    </row>
    <row r="3">
      <c r="A3" t="str">
        <v>Round Size</v>
      </c>
      <c r="B3">
        <v>8000000</v>
      </c>
      <c r="C3" t="str">
        <v>USD</v>
      </c>
    </row>
    <row r="4">
      <c r="A4" t="str">
        <v>Option Pool Expansion</v>
      </c>
      <c r="B4">
        <v>0.1</v>
      </c>
      <c r="C4" t="str">
        <v>%</v>
      </c>
    </row>
    <row r="5">
      <c r="A5" t="str">
        <v>Existing Shares</v>
      </c>
      <c r="B5">
        <v>10000000</v>
      </c>
      <c r="C5" t="str">
        <v/>
      </c>
    </row>
    <row r="6">
      <c r="A6" t="str">
        <v>Founder Shares</v>
      </c>
      <c r="B6">
        <v>6000000</v>
      </c>
      <c r="C6" t="str">
        <v/>
      </c>
    </row>
    <row r="7">
      <c r="A7" t="str">
        <v>Current Monthly Burn</v>
      </c>
      <c r="B7">
        <v>420000</v>
      </c>
      <c r="C7" t="str">
        <v>USD</v>
      </c>
    </row>
    <row r="8">
      <c r="A8" t="str">
        <v>Revenue Monthly</v>
      </c>
      <c r="B8">
        <v>180000</v>
      </c>
      <c r="C8" t="str">
        <v>USD</v>
      </c>
    </row>
    <row r="9">
      <c r="A9" t="str">
        <v>Revenue Growth MoM</v>
      </c>
      <c r="B9">
        <v>0.12</v>
      </c>
      <c r="C9" t="str">
        <v>%</v>
      </c>
    </row>
    <row r="10">
      <c r="A10" t="str">
        <v>Months to Next Round</v>
      </c>
      <c r="B10">
        <v>18</v>
      </c>
      <c r="C10" t="str">
        <v/>
      </c>
    </row>
    <row r="11">
      <c r="A11" t="str">
        <v>Target Next Round ARR</v>
      </c>
      <c r="B11">
        <v>5000000</v>
      </c>
      <c r="C11" t="str">
        <v>USD</v>
      </c>
    </row>
    <row r="12">
      <c r="A12" t="str">
        <v>Expected Next Valuation</v>
      </c>
      <c r="B12">
        <v>80000000</v>
      </c>
      <c r="C12" t="str">
        <v>USD</v>
      </c>
    </row>
    <row r="13">
      <c r="A13" t="str">
        <v>Liquidation Preference</v>
      </c>
      <c r="B13">
        <v>1</v>
      </c>
      <c r="C13" t="str">
        <v>x</v>
      </c>
    </row>
  </sheetData>
  <ignoredErrors>
    <ignoredError numberStoredAsText="1" sqref="A1:C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Post-Money Valuation</v>
      </c>
      <c r="B2">
        <f>Terms!B2+Terms!B3</f>
        <v>0</v>
      </c>
    </row>
    <row r="3">
      <c r="A3" t="str">
        <v>New Shares Issued</v>
      </c>
      <c r="B3">
        <f>Terms!B5*(Terms!B3/Terms!B2)</f>
        <v>0</v>
      </c>
    </row>
    <row r="4">
      <c r="A4" t="str">
        <v>Pool Shares</v>
      </c>
      <c r="B4">
        <f>(Terms!B5+Cap!B3)*Terms!B4/(1-Terms!B4)-(Terms!B5-Terms!B6)</f>
        <v>0</v>
      </c>
    </row>
    <row r="5">
      <c r="A5" t="str">
        <v>Total Shares Post</v>
      </c>
      <c r="B5">
        <f>Terms!B5+Cap!B3+Cap!B4</f>
        <v>0</v>
      </c>
    </row>
    <row r="6">
      <c r="A6" t="str">
        <v>Price Per Share</v>
      </c>
      <c r="B6">
        <f>Cap!B2/Cap!B5</f>
        <v>0</v>
      </c>
    </row>
    <row r="7">
      <c r="A7" t="str">
        <v>Founder Ownership Post</v>
      </c>
      <c r="B7">
        <f>Terms!B6/Cap!B5</f>
        <v>0</v>
      </c>
    </row>
    <row r="8">
      <c r="A8" t="str">
        <v>Investor Ownership</v>
      </c>
      <c r="B8">
        <f>Cap!B3/Cap!B5</f>
        <v>0</v>
      </c>
    </row>
    <row r="9">
      <c r="A9" t="str">
        <v>Runway Months</v>
      </c>
      <c r="B9">
        <f>Terms!B3/(Terms!B7-Terms!B8)</f>
        <v>0</v>
      </c>
    </row>
    <row r="10">
      <c r="A10" t="str">
        <v>Revenue at Next Round</v>
      </c>
      <c r="B10">
        <f>Terms!B8*(1+Terms!B9)^Terms!B10</f>
        <v>0</v>
      </c>
    </row>
    <row r="11">
      <c r="A11" t="str">
        <v>ARR at Next Round</v>
      </c>
      <c r="B11">
        <f>Cap!B10*12</f>
        <v>0</v>
      </c>
    </row>
    <row r="12">
      <c r="A12" t="str">
        <v>ARR Multiple Next</v>
      </c>
      <c r="B12">
        <f>Terms!B12/Cap!B11</f>
        <v>0</v>
      </c>
    </row>
    <row r="13">
      <c r="A13" t="str">
        <v>Investor Return Multiple</v>
      </c>
      <c r="B13">
        <f>(Cap!B8*Terms!B12)/Terms!B3</f>
        <v>0</v>
      </c>
    </row>
    <row r="14">
      <c r="A14" t="str">
        <v>Dilution This Round</v>
      </c>
      <c r="B14">
        <f>Terms!B3/Cap!B2</f>
        <v>0</v>
      </c>
    </row>
    <row r="15">
      <c r="A15" t="str">
        <v>Cumulative Dilution</v>
      </c>
      <c r="B15">
        <f>1-Terms!B6/Cap!B5</f>
        <v>0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Terms</vt:lpstr>
      <vt:lpstr>Cap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