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" sheetId="1" r:id="rId1"/>
    <sheet name="Ram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Parameter</v>
      </c>
      <c r="B1" t="str">
        <v>Value</v>
      </c>
      <c r="C1" t="str">
        <v>Unit</v>
      </c>
    </row>
    <row r="2">
      <c r="A2" t="str">
        <v>Initial Yield</v>
      </c>
      <c r="B2">
        <v>0.42</v>
      </c>
      <c r="C2" t="str">
        <v/>
      </c>
    </row>
    <row r="3">
      <c r="A3" t="str">
        <v>Mature Yield</v>
      </c>
      <c r="B3">
        <v>0.89</v>
      </c>
      <c r="C3" t="str">
        <v/>
      </c>
    </row>
    <row r="4">
      <c r="A4" t="str">
        <v>Learning Rate</v>
      </c>
      <c r="B4">
        <v>0.85</v>
      </c>
      <c r="C4" t="str">
        <v/>
      </c>
    </row>
    <row r="5">
      <c r="A5" t="str">
        <v>Wafer Cost</v>
      </c>
      <c r="B5">
        <v>18500</v>
      </c>
      <c r="C5" t="str">
        <v>USD</v>
      </c>
    </row>
    <row r="6">
      <c r="A6" t="str">
        <v>Die Area</v>
      </c>
      <c r="B6">
        <v>95</v>
      </c>
      <c r="C6" t="str">
        <v>mm²</v>
      </c>
    </row>
    <row r="7">
      <c r="A7" t="str">
        <v>Monthly Volume Target</v>
      </c>
      <c r="B7">
        <v>40000</v>
      </c>
      <c r="C7" t="str">
        <v>wafers</v>
      </c>
    </row>
    <row r="8">
      <c r="A8" t="str">
        <v>Ramp Start Month</v>
      </c>
      <c r="B8">
        <v>1</v>
      </c>
      <c r="C8" t="str">
        <v/>
      </c>
    </row>
    <row r="9">
      <c r="A9" t="str">
        <v>Full Production Month</v>
      </c>
      <c r="B9">
        <v>18</v>
      </c>
      <c r="C9" t="str">
        <v/>
      </c>
    </row>
    <row r="10">
      <c r="A10" t="str">
        <v>Defect Density Initial</v>
      </c>
      <c r="B10">
        <v>0.8</v>
      </c>
      <c r="C10" t="str">
        <v>d/cm²</v>
      </c>
    </row>
    <row r="11">
      <c r="A11" t="str">
        <v>Defect Density Mature</v>
      </c>
      <c r="B11">
        <v>0.15</v>
      </c>
      <c r="C11" t="str">
        <v>d/cm²</v>
      </c>
    </row>
    <row r="12">
      <c r="A12" t="str">
        <v>Excursion Rate</v>
      </c>
      <c r="B12">
        <v>0.02</v>
      </c>
      <c r="C12" t="str">
        <v>%</v>
      </c>
    </row>
    <row r="13">
      <c r="A13" t="str">
        <v>Rework Cost</v>
      </c>
      <c r="B13">
        <v>4200</v>
      </c>
      <c r="C13" t="str">
        <v>USD/lot</v>
      </c>
    </row>
    <row r="14">
      <c r="A14" t="str">
        <v>Lot Size</v>
      </c>
      <c r="B14">
        <v>25</v>
      </c>
      <c r="C14" t="str">
        <v>wafers</v>
      </c>
    </row>
    <row r="15">
      <c r="A15" t="str">
        <v>Test Escape Rate</v>
      </c>
      <c r="B15">
        <v>0.001</v>
      </c>
      <c r="C15" t="str">
        <v/>
      </c>
    </row>
    <row r="16">
      <c r="A16" t="str">
        <v>Field Failure Cost</v>
      </c>
      <c r="B16">
        <v>850</v>
      </c>
      <c r="C16" t="str">
        <v>USD/unit</v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DPW</v>
      </c>
      <c r="B2">
        <f>FLOOR(PI()*(300/2)^2/Config!B6, 1)</f>
        <v>0</v>
      </c>
    </row>
    <row r="3">
      <c r="A3" t="str">
        <v>Good Die Initial</v>
      </c>
      <c r="B3">
        <f>Ramp!B2*Config!B2</f>
        <v>0</v>
      </c>
    </row>
    <row r="4">
      <c r="A4" t="str">
        <v>Good Die Mature</v>
      </c>
      <c r="B4">
        <f>Ramp!B2*Config!B3</f>
        <v>0</v>
      </c>
    </row>
    <row r="5">
      <c r="A5" t="str">
        <v>Yield Improvement</v>
      </c>
      <c r="B5">
        <f>Config!B3-Config!B2</f>
        <v>0</v>
      </c>
    </row>
    <row r="6">
      <c r="A6" t="str">
        <v>Cost Per Good Die Initial</v>
      </c>
      <c r="B6">
        <f>Config!B5/(Ramp!B2*Config!B2)</f>
        <v>0</v>
      </c>
    </row>
    <row r="7">
      <c r="A7" t="str">
        <v>Cost Per Good Die Mature</v>
      </c>
      <c r="B7">
        <f>Config!B5/(Ramp!B2*Config!B3)</f>
        <v>0</v>
      </c>
    </row>
    <row r="8">
      <c r="A8" t="str">
        <v>Cost Reduction Per Die</v>
      </c>
      <c r="B8">
        <f>Ramp!B6-Ramp!B7</f>
        <v>0</v>
      </c>
    </row>
    <row r="9">
      <c r="A9" t="str">
        <v>Monthly Waste Initial</v>
      </c>
      <c r="B9">
        <f>Config!B7*(1-Config!B2)*Config!B5</f>
        <v>0</v>
      </c>
    </row>
    <row r="10">
      <c r="A10" t="str">
        <v>Monthly Waste Mature</v>
      </c>
      <c r="B10">
        <f>Config!B7*(1-Config!B3)*Config!B5</f>
        <v>0</v>
      </c>
    </row>
    <row r="11">
      <c r="A11" t="str">
        <v>Monthly Savings at Maturity</v>
      </c>
      <c r="B11">
        <f>Ramp!B9-Ramp!B10</f>
        <v>0</v>
      </c>
    </row>
    <row r="12">
      <c r="A12" t="str">
        <v>Excursion Lots Monthly</v>
      </c>
      <c r="B12">
        <f>(Config!B7/Config!B14)*Config!B12</f>
        <v>0</v>
      </c>
    </row>
    <row r="13">
      <c r="A13" t="str">
        <v>Rework Cost Monthly</v>
      </c>
      <c r="B13">
        <f>Ramp!B12*Config!B13</f>
        <v>0</v>
      </c>
    </row>
    <row r="14">
      <c r="A14" t="str">
        <v>Test Escapes Monthly</v>
      </c>
      <c r="B14">
        <f>Config!B7*Ramp!B2*Config!B3*Config!B15</f>
        <v>0</v>
      </c>
    </row>
    <row r="15">
      <c r="A15" t="str">
        <v>Field Failure Liability</v>
      </c>
      <c r="B15">
        <f>Ramp!B14*Config!B16</f>
        <v>0</v>
      </c>
    </row>
    <row r="16">
      <c r="A16" t="str">
        <v>Total Quality Cost</v>
      </c>
      <c r="B16">
        <f>Ramp!B13+Ramp!B15</f>
        <v>0</v>
      </c>
    </row>
    <row r="17">
      <c r="A17" t="str">
        <v>Cumulative Learning Doublings</v>
      </c>
      <c r="B17">
        <f>LN(Config!B9)/LN(2)</f>
        <v>0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Ramp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