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ers" sheetId="1" r:id="rId1"/>
    <sheet name="LC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Battery Capacity</v>
      </c>
      <c r="B2">
        <v>100</v>
      </c>
      <c r="C2" t="str">
        <v>MWh</v>
      </c>
    </row>
    <row r="3">
      <c r="A3" t="str">
        <v>Power Rating</v>
      </c>
      <c r="B3">
        <v>25</v>
      </c>
      <c r="C3" t="str">
        <v>MW</v>
      </c>
    </row>
    <row r="4">
      <c r="A4" t="str">
        <v>Installed Cost per kWh</v>
      </c>
      <c r="B4">
        <v>285</v>
      </c>
      <c r="C4" t="str">
        <v>USD/kWh</v>
      </c>
    </row>
    <row r="5">
      <c r="A5" t="str">
        <v>BOS Cost per kW</v>
      </c>
      <c r="B5">
        <v>180</v>
      </c>
      <c r="C5" t="str">
        <v>USD/kW</v>
      </c>
    </row>
    <row r="6">
      <c r="A6" t="str">
        <v>Annual Degradation</v>
      </c>
      <c r="B6">
        <v>0.025</v>
      </c>
      <c r="C6" t="str">
        <v>%/yr</v>
      </c>
    </row>
    <row r="7">
      <c r="A7" t="str">
        <v>Round Trip Efficiency</v>
      </c>
      <c r="B7">
        <v>0.87</v>
      </c>
      <c r="C7" t="str">
        <v/>
      </c>
    </row>
    <row r="8">
      <c r="A8" t="str">
        <v>Cycles Per Year</v>
      </c>
      <c r="B8">
        <v>365</v>
      </c>
      <c r="C8" t="str">
        <v/>
      </c>
    </row>
    <row r="9">
      <c r="A9" t="str">
        <v>Project Life</v>
      </c>
      <c r="B9">
        <v>20</v>
      </c>
      <c r="C9" t="str">
        <v>years</v>
      </c>
    </row>
    <row r="10">
      <c r="A10" t="str">
        <v>Discount Rate</v>
      </c>
      <c r="B10">
        <v>0.08</v>
      </c>
      <c r="C10" t="str">
        <v/>
      </c>
    </row>
    <row r="11">
      <c r="A11" t="str">
        <v>O&amp;M Fixed Annual</v>
      </c>
      <c r="B11">
        <v>12.5</v>
      </c>
      <c r="C11" t="str">
        <v>USD/kW-yr</v>
      </c>
    </row>
    <row r="12">
      <c r="A12" t="str">
        <v>O&amp;M Variable</v>
      </c>
      <c r="B12">
        <v>0.003</v>
      </c>
      <c r="C12" t="str">
        <v>USD/kWh</v>
      </c>
    </row>
    <row r="13">
      <c r="A13" t="str">
        <v>Augmentation Cost</v>
      </c>
      <c r="B13">
        <v>0.15</v>
      </c>
      <c r="C13" t="str">
        <v>x of initial</v>
      </c>
    </row>
    <row r="14">
      <c r="A14" t="str">
        <v>Augmentation Year</v>
      </c>
      <c r="B14">
        <v>10</v>
      </c>
      <c r="C14" t="str">
        <v/>
      </c>
    </row>
    <row r="15">
      <c r="A15" t="str">
        <v>Revenue per MWh Discharged</v>
      </c>
      <c r="B15">
        <v>95</v>
      </c>
      <c r="C15" t="str">
        <v>USD/MWh</v>
      </c>
    </row>
    <row r="16">
      <c r="A16" t="str">
        <v>Capacity Payment Annual</v>
      </c>
      <c r="B16">
        <v>45000</v>
      </c>
      <c r="C16" t="str">
        <v>USD/MW-yr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CapEx</v>
      </c>
      <c r="B2">
        <f>Parameters!B2*1000*Parameters!B4+Parameters!B3*1000*Parameters!B5</f>
        <v>0</v>
      </c>
    </row>
    <row r="3">
      <c r="A3" t="str">
        <v>Annual Energy Throughput</v>
      </c>
      <c r="B3">
        <f>Parameters!B2*Parameters!B8*Parameters!B7</f>
        <v>0</v>
      </c>
    </row>
    <row r="4">
      <c r="A4" t="str">
        <v>Lifetime Energy</v>
      </c>
      <c r="B4">
        <f>LCOS!B3*Parameters!B9</f>
        <v>0</v>
      </c>
    </row>
    <row r="5">
      <c r="A5" t="str">
        <v>Avg Degraded Capacity</v>
      </c>
      <c r="B5">
        <f>Parameters!B2*(1-Parameters!B6*Parameters!B9/2)</f>
        <v>0</v>
      </c>
    </row>
    <row r="6">
      <c r="A6" t="str">
        <v>Effective Annual Energy</v>
      </c>
      <c r="B6">
        <f>LCOS!B5*Parameters!B8*Parameters!B7</f>
        <v>0</v>
      </c>
    </row>
    <row r="7">
      <c r="A7" t="str">
        <v>Fixed O&amp;M Annual</v>
      </c>
      <c r="B7">
        <f>Parameters!B3*1000*Parameters!B11</f>
        <v>0</v>
      </c>
    </row>
    <row r="8">
      <c r="A8" t="str">
        <v>Variable O&amp;M Annual</v>
      </c>
      <c r="B8">
        <f>LCOS!B6*1000*Parameters!B12</f>
        <v>0</v>
      </c>
    </row>
    <row r="9">
      <c r="A9" t="str">
        <v>Augmentation NPV</v>
      </c>
      <c r="B9">
        <f>Parameters!B2*1000*Parameters!B4*Parameters!B13/(1+Parameters!B10)^Parameters!B14</f>
        <v>0</v>
      </c>
    </row>
    <row r="10">
      <c r="A10" t="str">
        <v>Total Lifetime Cost NPV</v>
      </c>
      <c r="B10">
        <f>LCOS!B2+(LCOS!B7+LCOS!B8)*((1-(1+Parameters!B10)^(-Parameters!B9))/Parameters!B10)+LCOS!B9</f>
        <v>0</v>
      </c>
    </row>
    <row r="11">
      <c r="A11" t="str">
        <v>LCOS</v>
      </c>
      <c r="B11">
        <f>LCOS!B10/(LCOS!B6*Parameters!B9*1000)</f>
        <v>0</v>
      </c>
    </row>
    <row r="12">
      <c r="A12" t="str">
        <v>Annual Energy Revenue</v>
      </c>
      <c r="B12">
        <f>LCOS!B6*Parameters!B15</f>
        <v>0</v>
      </c>
    </row>
    <row r="13">
      <c r="A13" t="str">
        <v>Annual Capacity Revenue</v>
      </c>
      <c r="B13">
        <f>Parameters!B3*Parameters!B16</f>
        <v>0</v>
      </c>
    </row>
    <row r="14">
      <c r="A14" t="str">
        <v>Total Annual Revenue</v>
      </c>
      <c r="B14">
        <f>LCOS!B12+LCOS!B13</f>
        <v>0</v>
      </c>
    </row>
    <row r="15">
      <c r="A15" t="str">
        <v>Simple Payback</v>
      </c>
      <c r="B15">
        <f>LCOS!B2/LCOS!B14</f>
        <v>0</v>
      </c>
    </row>
    <row r="16">
      <c r="A16" t="str">
        <v>NPV 20yr</v>
      </c>
      <c r="B16">
        <f>-LCOS!B2+LCOS!B14*((1-(1+Parameters!B10)^(-Parameters!B9))/Parameters!B10)</f>
        <v>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LCOS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