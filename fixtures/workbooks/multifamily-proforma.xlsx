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ProFor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Item</v>
      </c>
      <c r="B1" t="str">
        <v>Value</v>
      </c>
      <c r="C1" t="str">
        <v>Unit</v>
      </c>
    </row>
    <row r="2">
      <c r="A2" t="str">
        <v>Land Cost</v>
      </c>
      <c r="B2">
        <v>8500000</v>
      </c>
      <c r="C2" t="str">
        <v>USD</v>
      </c>
    </row>
    <row r="3">
      <c r="A3" t="str">
        <v>Hard Costs</v>
      </c>
      <c r="B3">
        <v>42000000</v>
      </c>
      <c r="C3" t="str">
        <v>USD</v>
      </c>
    </row>
    <row r="4">
      <c r="A4" t="str">
        <v>Soft Costs Pct</v>
      </c>
      <c r="B4">
        <v>0.18</v>
      </c>
      <c r="C4" t="str">
        <v>%</v>
      </c>
    </row>
    <row r="5">
      <c r="A5" t="str">
        <v>Total Units</v>
      </c>
      <c r="B5">
        <v>280</v>
      </c>
      <c r="C5" t="str">
        <v/>
      </c>
    </row>
    <row r="6">
      <c r="A6" t="str">
        <v>Avg Unit Size</v>
      </c>
      <c r="B6">
        <v>1050</v>
      </c>
      <c r="C6" t="str">
        <v>sqft</v>
      </c>
    </row>
    <row r="7">
      <c r="A7" t="str">
        <v>Rent Per SqFt</v>
      </c>
      <c r="B7">
        <v>4.25</v>
      </c>
      <c r="C7" t="str">
        <v>USD/mo</v>
      </c>
    </row>
    <row r="8">
      <c r="A8" t="str">
        <v>Vacancy Rate</v>
      </c>
      <c r="B8">
        <v>0.06</v>
      </c>
      <c r="C8" t="str">
        <v/>
      </c>
    </row>
    <row r="9">
      <c r="A9" t="str">
        <v>OpEx Ratio</v>
      </c>
      <c r="B9">
        <v>0.35</v>
      </c>
      <c r="C9" t="str">
        <v/>
      </c>
    </row>
    <row r="10">
      <c r="A10" t="str">
        <v>Cap Rate Market</v>
      </c>
      <c r="B10">
        <v>0.048</v>
      </c>
      <c r="C10" t="str">
        <v/>
      </c>
    </row>
    <row r="11">
      <c r="A11" t="str">
        <v>Exit Cap Rate</v>
      </c>
      <c r="B11">
        <v>0.052</v>
      </c>
      <c r="C11" t="str">
        <v/>
      </c>
    </row>
    <row r="12">
      <c r="A12" t="str">
        <v>Hold Period</v>
      </c>
      <c r="B12">
        <v>5</v>
      </c>
      <c r="C12" t="str">
        <v>years</v>
      </c>
    </row>
    <row r="13">
      <c r="A13" t="str">
        <v>LTV</v>
      </c>
      <c r="B13">
        <v>0.65</v>
      </c>
      <c r="C13" t="str">
        <v/>
      </c>
    </row>
    <row r="14">
      <c r="A14" t="str">
        <v>Interest Rate</v>
      </c>
      <c r="B14">
        <v>0.058</v>
      </c>
      <c r="C14" t="str">
        <v/>
      </c>
    </row>
    <row r="15">
      <c r="A15" t="str">
        <v>Loan Term</v>
      </c>
      <c r="B15">
        <v>30</v>
      </c>
      <c r="C15" t="str">
        <v>years</v>
      </c>
    </row>
    <row r="16">
      <c r="A16" t="str">
        <v>Rent Growth Annual</v>
      </c>
      <c r="B16">
        <v>0.03</v>
      </c>
      <c r="C16" t="str">
        <v/>
      </c>
    </row>
    <row r="17">
      <c r="A17" t="str">
        <v>Construction Duration</v>
      </c>
      <c r="B17">
        <v>24</v>
      </c>
      <c r="C17" t="str">
        <v>months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Line Item</v>
      </c>
      <c r="B1" t="str">
        <v>Value</v>
      </c>
    </row>
    <row r="2">
      <c r="A2" t="str">
        <v>Soft Costs</v>
      </c>
      <c r="B2">
        <f>Assumptions!B3*Assumptions!B4</f>
        <v>0</v>
      </c>
    </row>
    <row r="3">
      <c r="A3" t="str">
        <v>Total Development Cost</v>
      </c>
      <c r="B3">
        <f>Assumptions!B2+Assumptions!B3+ProForma!B2</f>
        <v>0</v>
      </c>
    </row>
    <row r="4">
      <c r="A4" t="str">
        <v>Gross Rentable Area</v>
      </c>
      <c r="B4">
        <f>Assumptions!B5*Assumptions!B6</f>
        <v>0</v>
      </c>
    </row>
    <row r="5">
      <c r="A5" t="str">
        <v>Potential Gross Income</v>
      </c>
      <c r="B5">
        <f>ProForma!B4*Assumptions!B7*12</f>
        <v>0</v>
      </c>
    </row>
    <row r="6">
      <c r="A6" t="str">
        <v>Effective Gross Income</v>
      </c>
      <c r="B6">
        <f>ProForma!B5*(1-Assumptions!B8)</f>
        <v>0</v>
      </c>
    </row>
    <row r="7">
      <c r="A7" t="str">
        <v>NOI</v>
      </c>
      <c r="B7">
        <f>ProForma!B6*(1-Assumptions!B9)</f>
        <v>0</v>
      </c>
    </row>
    <row r="8">
      <c r="A8" t="str">
        <v>Stabilized Value</v>
      </c>
      <c r="B8">
        <f>ProForma!B7/Assumptions!B10</f>
        <v>0</v>
      </c>
    </row>
    <row r="9">
      <c r="A9" t="str">
        <v>Loan Amount</v>
      </c>
      <c r="B9">
        <f>ProForma!B3*Assumptions!B13</f>
        <v>0</v>
      </c>
    </row>
    <row r="10">
      <c r="A10" t="str">
        <v>Annual Debt Service</v>
      </c>
      <c r="B10">
        <f>PMT(Assumptions!B14/12, Assumptions!B15*12, -ProForma!B9)*12</f>
        <v>0</v>
      </c>
    </row>
    <row r="11">
      <c r="A11" t="str">
        <v>DSCR</v>
      </c>
      <c r="B11">
        <f>ProForma!B7/ProForma!B10</f>
        <v>0</v>
      </c>
    </row>
    <row r="12">
      <c r="A12" t="str">
        <v>Cash on Cash Year 1</v>
      </c>
      <c r="B12">
        <f>(ProForma!B7-ProForma!B10)/(ProForma!B3-ProForma!B9)</f>
        <v>0</v>
      </c>
    </row>
    <row r="13">
      <c r="A13" t="str">
        <v>Exit NOI</v>
      </c>
      <c r="B13">
        <f>ProForma!B7*(1+Assumptions!B16)^Assumptions!B12</f>
        <v>0</v>
      </c>
    </row>
    <row r="14">
      <c r="A14" t="str">
        <v>Exit Value</v>
      </c>
      <c r="B14">
        <f>ProForma!B13/Assumptions!B11</f>
        <v>0</v>
      </c>
    </row>
    <row r="15">
      <c r="A15" t="str">
        <v>Profit on Cost</v>
      </c>
      <c r="B15">
        <f>(ProForma!B8-ProForma!B3)/ProForma!B3</f>
        <v>0</v>
      </c>
    </row>
    <row r="16">
      <c r="A16" t="str">
        <v>Equity Multiple</v>
      </c>
      <c r="B16">
        <f>ProForma!B14/((ProForma!B3-ProForma!B9))</f>
        <v>0</v>
      </c>
    </row>
    <row r="17">
      <c r="A17" t="str">
        <v>Unlevered IRR Proxy</v>
      </c>
      <c r="B17">
        <f>(ProForma!B7/ProForma!B3)+Assumptions!B16</f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ProForma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