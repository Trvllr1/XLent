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meters" sheetId="1" r:id="rId1"/>
    <sheet name="Analys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Parameter</v>
      </c>
      <c r="B1" t="str">
        <v>Value</v>
      </c>
      <c r="C1" t="str">
        <v>Unit</v>
      </c>
    </row>
    <row r="2">
      <c r="A2" t="str">
        <v>Current Node</v>
      </c>
      <c r="B2">
        <v>7</v>
      </c>
      <c r="C2" t="str">
        <v>nm</v>
      </c>
    </row>
    <row r="3">
      <c r="A3" t="str">
        <v>Target Node</v>
      </c>
      <c r="B3">
        <v>3</v>
      </c>
      <c r="C3" t="str">
        <v>nm</v>
      </c>
    </row>
    <row r="4">
      <c r="A4" t="str">
        <v>Mask Set Cost Current</v>
      </c>
      <c r="B4">
        <v>15000000</v>
      </c>
      <c r="C4" t="str">
        <v>USD</v>
      </c>
    </row>
    <row r="5">
      <c r="A5" t="str">
        <v>Mask Set Cost Target</v>
      </c>
      <c r="B5">
        <v>48000000</v>
      </c>
      <c r="C5" t="str">
        <v>USD</v>
      </c>
    </row>
    <row r="6">
      <c r="A6" t="str">
        <v>Wafer Cost Current</v>
      </c>
      <c r="B6">
        <v>12000</v>
      </c>
      <c r="C6" t="str">
        <v>USD</v>
      </c>
    </row>
    <row r="7">
      <c r="A7" t="str">
        <v>Wafer Cost Target</v>
      </c>
      <c r="B7">
        <v>18500</v>
      </c>
      <c r="C7" t="str">
        <v>USD</v>
      </c>
    </row>
    <row r="8">
      <c r="A8" t="str">
        <v>Die Area Current</v>
      </c>
      <c r="B8">
        <v>120</v>
      </c>
      <c r="C8" t="str">
        <v>mm²</v>
      </c>
    </row>
    <row r="9">
      <c r="A9" t="str">
        <v>Die Shrink Factor</v>
      </c>
      <c r="B9">
        <v>0.55</v>
      </c>
      <c r="C9" t="str">
        <v/>
      </c>
    </row>
    <row r="10">
      <c r="A10" t="str">
        <v>Yield Current</v>
      </c>
      <c r="B10">
        <v>0.88</v>
      </c>
      <c r="C10" t="str">
        <v/>
      </c>
    </row>
    <row r="11">
      <c r="A11" t="str">
        <v>Yield Target Initial</v>
      </c>
      <c r="B11">
        <v>0.62</v>
      </c>
      <c r="C11" t="str">
        <v/>
      </c>
    </row>
    <row r="12">
      <c r="A12" t="str">
        <v>Yield Ramp Months</v>
      </c>
      <c r="B12">
        <v>18</v>
      </c>
      <c r="C12" t="str">
        <v>months</v>
      </c>
    </row>
    <row r="13">
      <c r="A13" t="str">
        <v>Yield Mature</v>
      </c>
      <c r="B13">
        <v>0.84</v>
      </c>
      <c r="C13" t="str">
        <v/>
      </c>
    </row>
    <row r="14">
      <c r="A14" t="str">
        <v>Performance Gain</v>
      </c>
      <c r="B14">
        <v>1.35</v>
      </c>
      <c r="C14" t="str">
        <v>x</v>
      </c>
    </row>
    <row r="15">
      <c r="A15" t="str">
        <v>Power Reduction</v>
      </c>
      <c r="B15">
        <v>0.6</v>
      </c>
      <c r="C15" t="str">
        <v>x</v>
      </c>
    </row>
    <row r="16">
      <c r="A16" t="str">
        <v>Annual Volume</v>
      </c>
      <c r="B16">
        <v>500000</v>
      </c>
      <c r="C16" t="str">
        <v>units</v>
      </c>
    </row>
    <row r="17">
      <c r="A17" t="str">
        <v>ASP Premium</v>
      </c>
      <c r="B17">
        <v>1.2</v>
      </c>
      <c r="C17" t="str">
        <v>x</v>
      </c>
    </row>
    <row r="18">
      <c r="A18" t="str">
        <v>Current ASP</v>
      </c>
      <c r="B18">
        <v>145</v>
      </c>
      <c r="C18" t="str">
        <v>USD</v>
      </c>
    </row>
    <row r="19">
      <c r="A19" t="str">
        <v>Capital Investment</v>
      </c>
      <c r="B19">
        <v>250000000</v>
      </c>
      <c r="C19" t="str">
        <v>USD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Die Area Target</v>
      </c>
      <c r="B2">
        <f>Parameters!B8*Parameters!B9</f>
        <v>0</v>
      </c>
    </row>
    <row r="3">
      <c r="A3" t="str">
        <v>DPW Current</v>
      </c>
      <c r="B3">
        <f>FLOOR(PI()*(300/2)^2/Parameters!B8, 1)</f>
        <v>0</v>
      </c>
    </row>
    <row r="4">
      <c r="A4" t="str">
        <v>DPW Target</v>
      </c>
      <c r="B4">
        <f>FLOOR(PI()*(300/2)^2/Analysis!B2, 1)</f>
        <v>0</v>
      </c>
    </row>
    <row r="5">
      <c r="A5" t="str">
        <v>Net DPW Current</v>
      </c>
      <c r="B5">
        <f>Analysis!B3*Parameters!B10</f>
        <v>0</v>
      </c>
    </row>
    <row r="6">
      <c r="A6" t="str">
        <v>Net DPW Target Mature</v>
      </c>
      <c r="B6">
        <f>Analysis!B4*Parameters!B13</f>
        <v>0</v>
      </c>
    </row>
    <row r="7">
      <c r="A7" t="str">
        <v>Cost Per Die Current</v>
      </c>
      <c r="B7">
        <f>Parameters!B6/Analysis!B5</f>
        <v>0</v>
      </c>
    </row>
    <row r="8">
      <c r="A8" t="str">
        <v>Cost Per Die Target</v>
      </c>
      <c r="B8">
        <f>Parameters!B7/Analysis!B6</f>
        <v>0</v>
      </c>
    </row>
    <row r="9">
      <c r="A9" t="str">
        <v>Cost Delta Per Die</v>
      </c>
      <c r="B9">
        <f>Analysis!B8-Analysis!B7</f>
        <v>0</v>
      </c>
    </row>
    <row r="10">
      <c r="A10" t="str">
        <v>New ASP</v>
      </c>
      <c r="B10">
        <f>Parameters!B18*Parameters!B17</f>
        <v>0</v>
      </c>
    </row>
    <row r="11">
      <c r="A11" t="str">
        <v>Revenue Uplift Per Unit</v>
      </c>
      <c r="B11">
        <f>Analysis!B10-Parameters!B18</f>
        <v>0</v>
      </c>
    </row>
    <row r="12">
      <c r="A12" t="str">
        <v>Annual Revenue Delta</v>
      </c>
      <c r="B12">
        <f>Analysis!B11*Parameters!B16</f>
        <v>0</v>
      </c>
    </row>
    <row r="13">
      <c r="A13" t="str">
        <v>Annual Cost Delta</v>
      </c>
      <c r="B13">
        <f>Analysis!B9*Parameters!B16</f>
        <v>0</v>
      </c>
    </row>
    <row r="14">
      <c r="A14" t="str">
        <v>Net Annual Benefit</v>
      </c>
      <c r="B14">
        <f>Analysis!B12-Analysis!B13</f>
        <v>0</v>
      </c>
    </row>
    <row r="15">
      <c r="A15" t="str">
        <v>Payback Months</v>
      </c>
      <c r="B15">
        <f>(Parameters!B19+Parameters!B5)/Analysis!B14*12</f>
        <v>0</v>
      </c>
    </row>
    <row r="16">
      <c r="A16" t="str">
        <v>ROI 3yr</v>
      </c>
      <c r="B16">
        <f>(Analysis!B14*3-Parameters!B19-Parameters!B5)/(Parameters!B19+Parameters!B5)</f>
        <v>0</v>
      </c>
    </row>
    <row r="17">
      <c r="A17" t="str">
        <v>Transistor Density Gain</v>
      </c>
      <c r="B17">
        <f>1/Parameters!B9</f>
        <v>0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